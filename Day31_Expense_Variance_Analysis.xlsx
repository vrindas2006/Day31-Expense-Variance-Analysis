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f470ce8f86a440/Documents/"/>
    </mc:Choice>
  </mc:AlternateContent>
  <xr:revisionPtr revIDLastSave="112" documentId="8_{40D8CF20-3993-480B-8BEB-A6C87754F3C6}" xr6:coauthVersionLast="47" xr6:coauthVersionMax="47" xr10:uidLastSave="{394D5F90-FF4E-40E9-B102-8C426A43F00D}"/>
  <bookViews>
    <workbookView xWindow="-108" yWindow="-108" windowWidth="23256" windowHeight="12456" activeTab="1" xr2:uid="{B4A605E2-EE6A-4137-9C42-474B49FDA408}"/>
  </bookViews>
  <sheets>
    <sheet name="expense_data" sheetId="1" r:id="rId1"/>
    <sheet name="Summary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3" i="2"/>
  <c r="B4" i="2"/>
  <c r="B5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H16" i="1"/>
  <c r="G16" i="1"/>
  <c r="F3" i="1"/>
  <c r="G3" i="1" s="1"/>
  <c r="F4" i="1"/>
  <c r="G4" i="1" s="1"/>
  <c r="F2" i="1"/>
  <c r="G2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H15" i="1" s="1"/>
  <c r="F16" i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G15" i="1" l="1"/>
  <c r="H14" i="1"/>
  <c r="H13" i="1"/>
  <c r="H12" i="1"/>
  <c r="H11" i="1"/>
  <c r="H10" i="1"/>
  <c r="H25" i="1"/>
  <c r="H8" i="1"/>
  <c r="H23" i="1"/>
  <c r="H5" i="1"/>
  <c r="H20" i="1"/>
  <c r="H4" i="1"/>
  <c r="H17" i="1"/>
  <c r="H7" i="1"/>
  <c r="H6" i="1"/>
  <c r="H19" i="1"/>
  <c r="H3" i="1"/>
  <c r="H9" i="1"/>
  <c r="H24" i="1"/>
  <c r="H22" i="1"/>
  <c r="H21" i="1"/>
  <c r="H18" i="1"/>
  <c r="H2" i="1"/>
</calcChain>
</file>

<file path=xl/sharedStrings.xml><?xml version="1.0" encoding="utf-8"?>
<sst xmlns="http://schemas.openxmlformats.org/spreadsheetml/2006/main" count="97" uniqueCount="35">
  <si>
    <t>Month</t>
  </si>
  <si>
    <t>Department</t>
  </si>
  <si>
    <t>Category</t>
  </si>
  <si>
    <t>Budget</t>
  </si>
  <si>
    <t>Actual</t>
  </si>
  <si>
    <t>Jan</t>
  </si>
  <si>
    <t>HR</t>
  </si>
  <si>
    <t>Salaries</t>
  </si>
  <si>
    <t>Training</t>
  </si>
  <si>
    <t>IT</t>
  </si>
  <si>
    <t>Software</t>
  </si>
  <si>
    <t>Hardware</t>
  </si>
  <si>
    <t>Marketing</t>
  </si>
  <si>
    <t>Advertising</t>
  </si>
  <si>
    <t>Events</t>
  </si>
  <si>
    <t>Feb</t>
  </si>
  <si>
    <t>Mar</t>
  </si>
  <si>
    <t>Apr</t>
  </si>
  <si>
    <t>Varience</t>
  </si>
  <si>
    <t>Variance%</t>
  </si>
  <si>
    <t>Status</t>
  </si>
  <si>
    <t>Material Gap</t>
  </si>
  <si>
    <t>Expense Variance Analysis – Summary</t>
  </si>
  <si>
    <t>Total Budget</t>
  </si>
  <si>
    <t>Total Actual</t>
  </si>
  <si>
    <t>Total Variance</t>
  </si>
  <si>
    <t>Average Variance</t>
  </si>
  <si>
    <t>Row Labels</t>
  </si>
  <si>
    <t>Grand Total</t>
  </si>
  <si>
    <t>Sum of Budget</t>
  </si>
  <si>
    <t>Sum of Actual</t>
  </si>
  <si>
    <t>Sum of Varience</t>
  </si>
  <si>
    <t xml:space="preserve">  Department-Wise Variance</t>
  </si>
  <si>
    <t>KPI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</si>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</sst>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0" fontId="0" fillId="2" borderId="0" xfId="0" applyFill="1"/>
    <xf numFmtId="0" fontId="3" fillId="2" borderId="0" xfId="0" applyFont="1" applyFill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164" fontId="4" fillId="0" borderId="1" xfId="1" applyNumberFormat="1" applyFont="1" applyBorder="1" applyAlignment="1">
      <alignment wrapText="1"/>
    </xf>
    <xf numFmtId="9" fontId="4" fillId="0" borderId="1" xfId="2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65" formatCode="0.0%"/>
      <alignment horizontal="general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numFmt numFmtId="164" formatCode="&quot;₹&quot;\ #,##0.00"/>
      <alignment horizontal="right" vertical="center" textRotation="0" wrapText="1" indent="0" justifyLastLine="0" shrinkToFit="0" readingOrder="0"/>
    </dxf>
    <dxf>
      <numFmt numFmtId="164" formatCode="&quot;₹&quot;\ 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inda S Nair" refreshedDate="46296.995664120368" createdVersion="8" refreshedVersion="8" minRefreshableVersion="3" recordCount="24" xr:uid="{A52A312D-622A-4DF9-AE17-FD1DCBBBDD62}">
  <cacheSource type="worksheet">
    <worksheetSource name="ExpenseTable"/>
  </cacheSource>
  <cacheFields count="9">
    <cacheField name="Month" numFmtId="0">
      <sharedItems/>
    </cacheField>
    <cacheField name="Department" numFmtId="0">
      <sharedItems count="3">
        <s v="HR"/>
        <s v="IT"/>
        <s v="Marketing"/>
      </sharedItems>
    </cacheField>
    <cacheField name="Category" numFmtId="0">
      <sharedItems/>
    </cacheField>
    <cacheField name="Budget" numFmtId="164">
      <sharedItems containsSemiMixedTypes="0" containsString="0" containsNumber="1" containsInteger="1" minValue="10000" maxValue="53000"/>
    </cacheField>
    <cacheField name="Actual" numFmtId="164">
      <sharedItems containsSemiMixedTypes="0" containsString="0" containsNumber="1" containsInteger="1" minValue="8500" maxValue="55000"/>
    </cacheField>
    <cacheField name="Varience" numFmtId="164">
      <sharedItems containsSemiMixedTypes="0" containsString="0" containsNumber="1" containsInteger="1" minValue="-3000" maxValue="5000"/>
    </cacheField>
    <cacheField name="Variance%" numFmtId="165">
      <sharedItems containsSemiMixedTypes="0" containsString="0" containsNumber="1" minValue="-0.2" maxValue="0.16666666666666666"/>
    </cacheField>
    <cacheField name="Status" numFmtId="0">
      <sharedItems/>
    </cacheField>
    <cacheField name="Material Ga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Jan"/>
    <x v="0"/>
    <s v="Salaries"/>
    <n v="50000"/>
    <n v="52000"/>
    <n v="2000"/>
    <n v="0.04"/>
    <s v="Over Budget"/>
    <s v="Normal"/>
  </r>
  <r>
    <s v="Jan"/>
    <x v="0"/>
    <s v="Training"/>
    <n v="10000"/>
    <n v="8500"/>
    <n v="-1500"/>
    <n v="-0.15"/>
    <s v="Under Budget"/>
    <s v="Material Gap"/>
  </r>
  <r>
    <s v="Jan"/>
    <x v="1"/>
    <s v="Software"/>
    <n v="25000"/>
    <n v="29000"/>
    <n v="4000"/>
    <n v="0.16"/>
    <s v="Over Budget"/>
    <s v="Material Gap"/>
  </r>
  <r>
    <s v="Jan"/>
    <x v="1"/>
    <s v="Hardware"/>
    <n v="30000"/>
    <n v="27000"/>
    <n v="-3000"/>
    <n v="-0.1"/>
    <s v="Under Budget"/>
    <s v="Material Gap"/>
  </r>
  <r>
    <s v="Jan"/>
    <x v="2"/>
    <s v="Advertising"/>
    <n v="40000"/>
    <n v="45000"/>
    <n v="5000"/>
    <n v="0.125"/>
    <s v="Over Budget"/>
    <s v="Material Gap"/>
  </r>
  <r>
    <s v="Jan"/>
    <x v="2"/>
    <s v="Events"/>
    <n v="15000"/>
    <n v="12000"/>
    <n v="-3000"/>
    <n v="-0.2"/>
    <s v="Under Budget"/>
    <s v="Material Gap"/>
  </r>
  <r>
    <s v="Feb"/>
    <x v="0"/>
    <s v="Salaries"/>
    <n v="50000"/>
    <n v="51000"/>
    <n v="1000"/>
    <n v="0.02"/>
    <s v="Over Budget"/>
    <s v="Normal"/>
  </r>
  <r>
    <s v="Feb"/>
    <x v="0"/>
    <s v="Training"/>
    <n v="12000"/>
    <n v="14000"/>
    <n v="2000"/>
    <n v="0.16666666666666666"/>
    <s v="Over Budget"/>
    <s v="Material Gap"/>
  </r>
  <r>
    <s v="Feb"/>
    <x v="1"/>
    <s v="Software"/>
    <n v="26000"/>
    <n v="24000"/>
    <n v="-2000"/>
    <n v="-7.6923076923076927E-2"/>
    <s v="Under Budget"/>
    <s v="Normal"/>
  </r>
  <r>
    <s v="Feb"/>
    <x v="1"/>
    <s v="Hardware"/>
    <n v="28000"/>
    <n v="32000"/>
    <n v="4000"/>
    <n v="0.14285714285714285"/>
    <s v="Over Budget"/>
    <s v="Material Gap"/>
  </r>
  <r>
    <s v="Feb"/>
    <x v="2"/>
    <s v="Advertising"/>
    <n v="42000"/>
    <n v="39000"/>
    <n v="-3000"/>
    <n v="-7.1428571428571425E-2"/>
    <s v="Under Budget"/>
    <s v="Normal"/>
  </r>
  <r>
    <s v="Feb"/>
    <x v="2"/>
    <s v="Events"/>
    <n v="18000"/>
    <n v="21000"/>
    <n v="3000"/>
    <n v="0.16666666666666666"/>
    <s v="Over Budget"/>
    <s v="Material Gap"/>
  </r>
  <r>
    <s v="Mar"/>
    <x v="0"/>
    <s v="Salaries"/>
    <n v="52000"/>
    <n v="53000"/>
    <n v="1000"/>
    <n v="1.9230769230769232E-2"/>
    <s v="Over Budget"/>
    <s v="Normal"/>
  </r>
  <r>
    <s v="Mar"/>
    <x v="0"/>
    <s v="Training"/>
    <n v="10000"/>
    <n v="9000"/>
    <n v="-1000"/>
    <n v="-0.1"/>
    <s v="Under Budget"/>
    <s v="Material Gap"/>
  </r>
  <r>
    <s v="Mar"/>
    <x v="1"/>
    <s v="Software"/>
    <n v="27000"/>
    <n v="30000"/>
    <n v="3000"/>
    <n v="0.1111111111111111"/>
    <s v="Over Budget"/>
    <s v="Material Gap"/>
  </r>
  <r>
    <s v="Mar"/>
    <x v="1"/>
    <s v="Hardware"/>
    <n v="32000"/>
    <n v="35000"/>
    <n v="3000"/>
    <n v="9.375E-2"/>
    <s v="Over Budget"/>
    <s v="Normal"/>
  </r>
  <r>
    <s v="Mar"/>
    <x v="2"/>
    <s v="Advertising"/>
    <n v="45000"/>
    <n v="48000"/>
    <n v="3000"/>
    <n v="6.6666666666666666E-2"/>
    <s v="Over Budget"/>
    <s v="Normal"/>
  </r>
  <r>
    <s v="Mar"/>
    <x v="2"/>
    <s v="Events"/>
    <n v="20000"/>
    <n v="17000"/>
    <n v="-3000"/>
    <n v="-0.15"/>
    <s v="Under Budget"/>
    <s v="Material Gap"/>
  </r>
  <r>
    <s v="Apr"/>
    <x v="0"/>
    <s v="Salaries"/>
    <n v="53000"/>
    <n v="55000"/>
    <n v="2000"/>
    <n v="3.7735849056603772E-2"/>
    <s v="Over Budget"/>
    <s v="Normal"/>
  </r>
  <r>
    <s v="Apr"/>
    <x v="0"/>
    <s v="Training"/>
    <n v="11000"/>
    <n v="12500"/>
    <n v="1500"/>
    <n v="0.13636363636363635"/>
    <s v="Over Budget"/>
    <s v="Material Gap"/>
  </r>
  <r>
    <s v="Apr"/>
    <x v="1"/>
    <s v="Software"/>
    <n v="28000"/>
    <n v="31000"/>
    <n v="3000"/>
    <n v="0.10714285714285714"/>
    <s v="Over Budget"/>
    <s v="Material Gap"/>
  </r>
  <r>
    <s v="Apr"/>
    <x v="1"/>
    <s v="Hardware"/>
    <n v="30000"/>
    <n v="28000"/>
    <n v="-2000"/>
    <n v="-6.6666666666666666E-2"/>
    <s v="Under Budget"/>
    <s v="Normal"/>
  </r>
  <r>
    <s v="Apr"/>
    <x v="2"/>
    <s v="Advertising"/>
    <n v="46000"/>
    <n v="44000"/>
    <n v="-2000"/>
    <n v="-4.3478260869565216E-2"/>
    <s v="Under Budget"/>
    <s v="Normal"/>
  </r>
  <r>
    <s v="Apr"/>
    <x v="2"/>
    <s v="Events"/>
    <n v="22000"/>
    <n v="25000"/>
    <n v="3000"/>
    <n v="0.13636363636363635"/>
    <s v="Over Budget"/>
    <s v="Material Ga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5733E-4DFF-4757-8DDC-98FC72C8DF0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6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numFmtId="165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" fld="3" baseField="0" baseItem="0" numFmtId="164"/>
    <dataField name="Sum of Varience" fld="5" baseField="0" baseItem="0" numFmtId="164"/>
    <dataField name="Sum of Actual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5351F-B600-48D6-BA9F-0805A8E028B5}" name="ExpenseTable" displayName="ExpenseTable" ref="A1:I25" totalsRowShown="0" headerRowDxfId="13" dataDxfId="12">
  <autoFilter ref="A1:I25" xr:uid="{4735351F-B600-48D6-BA9F-0805A8E028B5}"/>
  <tableColumns count="9">
    <tableColumn id="1" xr3:uid="{533F3589-66A6-49B2-BD85-F7F1D7B8E55F}" name="Month" dataDxfId="11"/>
    <tableColumn id="2" xr3:uid="{62567464-0C6F-4126-90DD-5819EDD4DF9C}" name="Department" dataDxfId="10"/>
    <tableColumn id="3" xr3:uid="{2EEE1129-3618-42B6-8D62-65733A9B1C48}" name="Category" dataDxfId="9"/>
    <tableColumn id="4" xr3:uid="{46E232A4-B718-4A82-8132-A5A79CDEA2D7}" name="Budget" dataDxfId="8"/>
    <tableColumn id="5" xr3:uid="{77611507-4F04-4D8D-9D5C-AE9E9203C12D}" name="Actual" dataDxfId="7"/>
    <tableColumn id="6" xr3:uid="{CE2C03C1-9869-4604-BE33-055B26C6AB8D}" name="Varience" dataDxfId="6">
      <calculatedColumnFormula>E2-D2</calculatedColumnFormula>
    </tableColumn>
    <tableColumn id="7" xr3:uid="{498FBE60-260F-487A-95BA-7F7C20837545}" name="Variance%" dataDxfId="5">
      <calculatedColumnFormula>F2/D2</calculatedColumnFormula>
    </tableColumn>
    <tableColumn id="8" xr3:uid="{0E464591-079D-4EB1-A269-FA750B266FF8}" name="Status" dataDxfId="4">
      <calculatedColumnFormula>IF(F2&gt;0,"Over Budget",IF(F2&lt;0,"Under Budget","On Budget"))</calculatedColumnFormula>
    </tableColumn>
    <tableColumn id="9" xr3:uid="{E119434B-3E05-4DCB-8D5E-9A2CE5DB632C}" name="Material Gap" dataDxfId="3">
      <calculatedColumnFormula>IF(ABS(G2)&gt;=10%,"Material Gap","Normal")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E265-132A-4E6A-83A2-0D3752AB973A}">
  <dimension ref="A1:I25"/>
  <sheetViews>
    <sheetView workbookViewId="0">
      <selection activeCell="E7" sqref="E7"/>
    </sheetView>
  </sheetViews>
  <sheetFormatPr defaultRowHeight="14.4" x14ac:dyDescent="0.3"/>
  <cols>
    <col min="2" max="2" width="15.44140625" bestFit="1" customWidth="1"/>
    <col min="3" max="3" width="12.33203125" customWidth="1"/>
    <col min="4" max="5" width="10.44140625" style="5" bestFit="1" customWidth="1"/>
    <col min="6" max="6" width="10.109375" style="5" bestFit="1" customWidth="1"/>
    <col min="7" max="7" width="8.88671875" style="10"/>
  </cols>
  <sheetData>
    <row r="1" spans="1:9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6" t="s">
        <v>18</v>
      </c>
      <c r="G1" s="8" t="s">
        <v>19</v>
      </c>
      <c r="H1" s="1" t="s">
        <v>20</v>
      </c>
      <c r="I1" s="1" t="s">
        <v>21</v>
      </c>
    </row>
    <row r="2" spans="1:9" ht="28.8" x14ac:dyDescent="0.3">
      <c r="A2" s="2" t="s">
        <v>5</v>
      </c>
      <c r="B2" s="2" t="s">
        <v>6</v>
      </c>
      <c r="C2" s="2" t="s">
        <v>7</v>
      </c>
      <c r="D2" s="4">
        <v>50000</v>
      </c>
      <c r="E2" s="4">
        <v>52000</v>
      </c>
      <c r="F2" s="7">
        <f t="shared" ref="F2:F25" si="0">E2-D2</f>
        <v>2000</v>
      </c>
      <c r="G2" s="9">
        <f t="shared" ref="G2:G25" si="1">F2/D2</f>
        <v>0.04</v>
      </c>
      <c r="H2" s="2" t="str">
        <f t="shared" ref="H2:H25" si="2">IF(F2&gt;0,"Over Budget",IF(F2&lt;0,"Under Budget","On Budget"))</f>
        <v>Over Budget</v>
      </c>
      <c r="I2" s="2" t="str">
        <f t="shared" ref="I2:I25" si="3">IF(ABS(G2)&gt;=10%,"Material Gap","Normal")</f>
        <v>Normal</v>
      </c>
    </row>
    <row r="3" spans="1:9" ht="28.8" x14ac:dyDescent="0.3">
      <c r="A3" s="2" t="s">
        <v>5</v>
      </c>
      <c r="B3" s="2" t="s">
        <v>6</v>
      </c>
      <c r="C3" s="2" t="s">
        <v>8</v>
      </c>
      <c r="D3" s="4">
        <v>10000</v>
      </c>
      <c r="E3" s="4">
        <v>8500</v>
      </c>
      <c r="F3" s="7">
        <f t="shared" si="0"/>
        <v>-1500</v>
      </c>
      <c r="G3" s="9">
        <f t="shared" si="1"/>
        <v>-0.15</v>
      </c>
      <c r="H3" s="2" t="str">
        <f t="shared" si="2"/>
        <v>Under Budget</v>
      </c>
      <c r="I3" s="2" t="str">
        <f t="shared" si="3"/>
        <v>Material Gap</v>
      </c>
    </row>
    <row r="4" spans="1:9" ht="28.8" x14ac:dyDescent="0.3">
      <c r="A4" s="2" t="s">
        <v>5</v>
      </c>
      <c r="B4" s="2" t="s">
        <v>9</v>
      </c>
      <c r="C4" s="2" t="s">
        <v>10</v>
      </c>
      <c r="D4" s="4">
        <v>25000</v>
      </c>
      <c r="E4" s="4">
        <v>29000</v>
      </c>
      <c r="F4" s="7">
        <f t="shared" si="0"/>
        <v>4000</v>
      </c>
      <c r="G4" s="9">
        <f t="shared" si="1"/>
        <v>0.16</v>
      </c>
      <c r="H4" s="2" t="str">
        <f t="shared" si="2"/>
        <v>Over Budget</v>
      </c>
      <c r="I4" s="2" t="str">
        <f t="shared" si="3"/>
        <v>Material Gap</v>
      </c>
    </row>
    <row r="5" spans="1:9" ht="28.8" x14ac:dyDescent="0.3">
      <c r="A5" s="2" t="s">
        <v>5</v>
      </c>
      <c r="B5" s="2" t="s">
        <v>9</v>
      </c>
      <c r="C5" s="2" t="s">
        <v>11</v>
      </c>
      <c r="D5" s="4">
        <v>30000</v>
      </c>
      <c r="E5" s="4">
        <v>27000</v>
      </c>
      <c r="F5" s="7">
        <f t="shared" si="0"/>
        <v>-3000</v>
      </c>
      <c r="G5" s="9">
        <f t="shared" si="1"/>
        <v>-0.1</v>
      </c>
      <c r="H5" s="2" t="str">
        <f t="shared" si="2"/>
        <v>Under Budget</v>
      </c>
      <c r="I5" s="2" t="str">
        <f t="shared" si="3"/>
        <v>Material Gap</v>
      </c>
    </row>
    <row r="6" spans="1:9" ht="28.8" x14ac:dyDescent="0.3">
      <c r="A6" s="2" t="s">
        <v>5</v>
      </c>
      <c r="B6" s="2" t="s">
        <v>12</v>
      </c>
      <c r="C6" s="2" t="s">
        <v>13</v>
      </c>
      <c r="D6" s="4">
        <v>40000</v>
      </c>
      <c r="E6" s="4">
        <v>45000</v>
      </c>
      <c r="F6" s="7">
        <f t="shared" si="0"/>
        <v>5000</v>
      </c>
      <c r="G6" s="9">
        <f t="shared" si="1"/>
        <v>0.125</v>
      </c>
      <c r="H6" s="2" t="str">
        <f t="shared" si="2"/>
        <v>Over Budget</v>
      </c>
      <c r="I6" s="2" t="str">
        <f t="shared" si="3"/>
        <v>Material Gap</v>
      </c>
    </row>
    <row r="7" spans="1:9" ht="28.8" x14ac:dyDescent="0.3">
      <c r="A7" s="2" t="s">
        <v>5</v>
      </c>
      <c r="B7" s="2" t="s">
        <v>12</v>
      </c>
      <c r="C7" s="2" t="s">
        <v>14</v>
      </c>
      <c r="D7" s="4">
        <v>15000</v>
      </c>
      <c r="E7" s="4">
        <v>12000</v>
      </c>
      <c r="F7" s="7">
        <f t="shared" si="0"/>
        <v>-3000</v>
      </c>
      <c r="G7" s="9">
        <f t="shared" si="1"/>
        <v>-0.2</v>
      </c>
      <c r="H7" s="2" t="str">
        <f t="shared" si="2"/>
        <v>Under Budget</v>
      </c>
      <c r="I7" s="2" t="str">
        <f t="shared" si="3"/>
        <v>Material Gap</v>
      </c>
    </row>
    <row r="8" spans="1:9" ht="28.8" x14ac:dyDescent="0.3">
      <c r="A8" s="2" t="s">
        <v>15</v>
      </c>
      <c r="B8" s="2" t="s">
        <v>6</v>
      </c>
      <c r="C8" s="2" t="s">
        <v>7</v>
      </c>
      <c r="D8" s="4">
        <v>50000</v>
      </c>
      <c r="E8" s="4">
        <v>51000</v>
      </c>
      <c r="F8" s="7">
        <f t="shared" si="0"/>
        <v>1000</v>
      </c>
      <c r="G8" s="9">
        <f t="shared" si="1"/>
        <v>0.02</v>
      </c>
      <c r="H8" s="2" t="str">
        <f t="shared" si="2"/>
        <v>Over Budget</v>
      </c>
      <c r="I8" s="2" t="str">
        <f t="shared" si="3"/>
        <v>Normal</v>
      </c>
    </row>
    <row r="9" spans="1:9" ht="28.8" x14ac:dyDescent="0.3">
      <c r="A9" s="2" t="s">
        <v>15</v>
      </c>
      <c r="B9" s="2" t="s">
        <v>6</v>
      </c>
      <c r="C9" s="2" t="s">
        <v>8</v>
      </c>
      <c r="D9" s="4">
        <v>12000</v>
      </c>
      <c r="E9" s="4">
        <v>14000</v>
      </c>
      <c r="F9" s="7">
        <f t="shared" si="0"/>
        <v>2000</v>
      </c>
      <c r="G9" s="9">
        <f t="shared" si="1"/>
        <v>0.16666666666666666</v>
      </c>
      <c r="H9" s="2" t="str">
        <f t="shared" si="2"/>
        <v>Over Budget</v>
      </c>
      <c r="I9" s="2" t="str">
        <f t="shared" si="3"/>
        <v>Material Gap</v>
      </c>
    </row>
    <row r="10" spans="1:9" ht="28.8" x14ac:dyDescent="0.3">
      <c r="A10" s="2" t="s">
        <v>15</v>
      </c>
      <c r="B10" s="2" t="s">
        <v>9</v>
      </c>
      <c r="C10" s="2" t="s">
        <v>10</v>
      </c>
      <c r="D10" s="4">
        <v>26000</v>
      </c>
      <c r="E10" s="4">
        <v>24000</v>
      </c>
      <c r="F10" s="7">
        <f t="shared" si="0"/>
        <v>-2000</v>
      </c>
      <c r="G10" s="9">
        <f t="shared" si="1"/>
        <v>-7.6923076923076927E-2</v>
      </c>
      <c r="H10" s="2" t="str">
        <f t="shared" si="2"/>
        <v>Under Budget</v>
      </c>
      <c r="I10" s="2" t="str">
        <f t="shared" si="3"/>
        <v>Normal</v>
      </c>
    </row>
    <row r="11" spans="1:9" ht="28.8" x14ac:dyDescent="0.3">
      <c r="A11" s="2" t="s">
        <v>15</v>
      </c>
      <c r="B11" s="2" t="s">
        <v>9</v>
      </c>
      <c r="C11" s="2" t="s">
        <v>11</v>
      </c>
      <c r="D11" s="4">
        <v>28000</v>
      </c>
      <c r="E11" s="4">
        <v>32000</v>
      </c>
      <c r="F11" s="7">
        <f t="shared" si="0"/>
        <v>4000</v>
      </c>
      <c r="G11" s="9">
        <f t="shared" si="1"/>
        <v>0.14285714285714285</v>
      </c>
      <c r="H11" s="2" t="str">
        <f t="shared" si="2"/>
        <v>Over Budget</v>
      </c>
      <c r="I11" s="2" t="str">
        <f t="shared" si="3"/>
        <v>Material Gap</v>
      </c>
    </row>
    <row r="12" spans="1:9" ht="28.8" x14ac:dyDescent="0.3">
      <c r="A12" s="2" t="s">
        <v>15</v>
      </c>
      <c r="B12" s="2" t="s">
        <v>12</v>
      </c>
      <c r="C12" s="2" t="s">
        <v>13</v>
      </c>
      <c r="D12" s="4">
        <v>42000</v>
      </c>
      <c r="E12" s="4">
        <v>39000</v>
      </c>
      <c r="F12" s="7">
        <f t="shared" si="0"/>
        <v>-3000</v>
      </c>
      <c r="G12" s="9">
        <f t="shared" si="1"/>
        <v>-7.1428571428571425E-2</v>
      </c>
      <c r="H12" s="2" t="str">
        <f t="shared" si="2"/>
        <v>Under Budget</v>
      </c>
      <c r="I12" s="2" t="str">
        <f t="shared" si="3"/>
        <v>Normal</v>
      </c>
    </row>
    <row r="13" spans="1:9" ht="28.8" x14ac:dyDescent="0.3">
      <c r="A13" s="2" t="s">
        <v>15</v>
      </c>
      <c r="B13" s="2" t="s">
        <v>12</v>
      </c>
      <c r="C13" s="2" t="s">
        <v>14</v>
      </c>
      <c r="D13" s="4">
        <v>18000</v>
      </c>
      <c r="E13" s="4">
        <v>21000</v>
      </c>
      <c r="F13" s="7">
        <f t="shared" si="0"/>
        <v>3000</v>
      </c>
      <c r="G13" s="9">
        <f t="shared" si="1"/>
        <v>0.16666666666666666</v>
      </c>
      <c r="H13" s="2" t="str">
        <f t="shared" si="2"/>
        <v>Over Budget</v>
      </c>
      <c r="I13" s="2" t="str">
        <f t="shared" si="3"/>
        <v>Material Gap</v>
      </c>
    </row>
    <row r="14" spans="1:9" ht="28.8" x14ac:dyDescent="0.3">
      <c r="A14" s="2" t="s">
        <v>16</v>
      </c>
      <c r="B14" s="2" t="s">
        <v>6</v>
      </c>
      <c r="C14" s="2" t="s">
        <v>7</v>
      </c>
      <c r="D14" s="4">
        <v>52000</v>
      </c>
      <c r="E14" s="4">
        <v>53000</v>
      </c>
      <c r="F14" s="7">
        <f t="shared" si="0"/>
        <v>1000</v>
      </c>
      <c r="G14" s="9">
        <f t="shared" si="1"/>
        <v>1.9230769230769232E-2</v>
      </c>
      <c r="H14" s="2" t="str">
        <f t="shared" si="2"/>
        <v>Over Budget</v>
      </c>
      <c r="I14" s="2" t="str">
        <f t="shared" si="3"/>
        <v>Normal</v>
      </c>
    </row>
    <row r="15" spans="1:9" ht="28.8" x14ac:dyDescent="0.3">
      <c r="A15" s="2" t="s">
        <v>16</v>
      </c>
      <c r="B15" s="2" t="s">
        <v>6</v>
      </c>
      <c r="C15" s="2" t="s">
        <v>8</v>
      </c>
      <c r="D15" s="4">
        <v>10000</v>
      </c>
      <c r="E15" s="4">
        <v>9000</v>
      </c>
      <c r="F15" s="7">
        <f t="shared" si="0"/>
        <v>-1000</v>
      </c>
      <c r="G15" s="9">
        <f t="shared" si="1"/>
        <v>-0.1</v>
      </c>
      <c r="H15" s="2" t="str">
        <f t="shared" si="2"/>
        <v>Under Budget</v>
      </c>
      <c r="I15" s="2" t="str">
        <f t="shared" si="3"/>
        <v>Material Gap</v>
      </c>
    </row>
    <row r="16" spans="1:9" ht="28.8" x14ac:dyDescent="0.3">
      <c r="A16" s="2" t="s">
        <v>16</v>
      </c>
      <c r="B16" s="2" t="s">
        <v>9</v>
      </c>
      <c r="C16" s="2" t="s">
        <v>10</v>
      </c>
      <c r="D16" s="4">
        <v>27000</v>
      </c>
      <c r="E16" s="4">
        <v>30000</v>
      </c>
      <c r="F16" s="7">
        <f t="shared" si="0"/>
        <v>3000</v>
      </c>
      <c r="G16" s="9">
        <f t="shared" si="1"/>
        <v>0.1111111111111111</v>
      </c>
      <c r="H16" s="2" t="str">
        <f t="shared" si="2"/>
        <v>Over Budget</v>
      </c>
      <c r="I16" s="2" t="str">
        <f t="shared" si="3"/>
        <v>Material Gap</v>
      </c>
    </row>
    <row r="17" spans="1:9" ht="28.8" x14ac:dyDescent="0.3">
      <c r="A17" s="2" t="s">
        <v>16</v>
      </c>
      <c r="B17" s="2" t="s">
        <v>9</v>
      </c>
      <c r="C17" s="2" t="s">
        <v>11</v>
      </c>
      <c r="D17" s="4">
        <v>32000</v>
      </c>
      <c r="E17" s="4">
        <v>35000</v>
      </c>
      <c r="F17" s="7">
        <f t="shared" si="0"/>
        <v>3000</v>
      </c>
      <c r="G17" s="9">
        <f t="shared" si="1"/>
        <v>9.375E-2</v>
      </c>
      <c r="H17" s="2" t="str">
        <f t="shared" si="2"/>
        <v>Over Budget</v>
      </c>
      <c r="I17" s="2" t="str">
        <f t="shared" si="3"/>
        <v>Normal</v>
      </c>
    </row>
    <row r="18" spans="1:9" ht="28.8" x14ac:dyDescent="0.3">
      <c r="A18" s="2" t="s">
        <v>16</v>
      </c>
      <c r="B18" s="2" t="s">
        <v>12</v>
      </c>
      <c r="C18" s="2" t="s">
        <v>13</v>
      </c>
      <c r="D18" s="4">
        <v>45000</v>
      </c>
      <c r="E18" s="4">
        <v>48000</v>
      </c>
      <c r="F18" s="7">
        <f t="shared" si="0"/>
        <v>3000</v>
      </c>
      <c r="G18" s="9">
        <f t="shared" si="1"/>
        <v>6.6666666666666666E-2</v>
      </c>
      <c r="H18" s="2" t="str">
        <f t="shared" si="2"/>
        <v>Over Budget</v>
      </c>
      <c r="I18" s="2" t="str">
        <f t="shared" si="3"/>
        <v>Normal</v>
      </c>
    </row>
    <row r="19" spans="1:9" ht="28.8" x14ac:dyDescent="0.3">
      <c r="A19" s="2" t="s">
        <v>16</v>
      </c>
      <c r="B19" s="2" t="s">
        <v>12</v>
      </c>
      <c r="C19" s="2" t="s">
        <v>14</v>
      </c>
      <c r="D19" s="4">
        <v>20000</v>
      </c>
      <c r="E19" s="4">
        <v>17000</v>
      </c>
      <c r="F19" s="7">
        <f t="shared" si="0"/>
        <v>-3000</v>
      </c>
      <c r="G19" s="9">
        <f t="shared" si="1"/>
        <v>-0.15</v>
      </c>
      <c r="H19" s="2" t="str">
        <f t="shared" si="2"/>
        <v>Under Budget</v>
      </c>
      <c r="I19" s="2" t="str">
        <f t="shared" si="3"/>
        <v>Material Gap</v>
      </c>
    </row>
    <row r="20" spans="1:9" ht="28.8" x14ac:dyDescent="0.3">
      <c r="A20" s="2" t="s">
        <v>17</v>
      </c>
      <c r="B20" s="2" t="s">
        <v>6</v>
      </c>
      <c r="C20" s="2" t="s">
        <v>7</v>
      </c>
      <c r="D20" s="4">
        <v>53000</v>
      </c>
      <c r="E20" s="4">
        <v>55000</v>
      </c>
      <c r="F20" s="7">
        <f t="shared" si="0"/>
        <v>2000</v>
      </c>
      <c r="G20" s="9">
        <f t="shared" si="1"/>
        <v>3.7735849056603772E-2</v>
      </c>
      <c r="H20" s="2" t="str">
        <f t="shared" si="2"/>
        <v>Over Budget</v>
      </c>
      <c r="I20" s="2" t="str">
        <f t="shared" si="3"/>
        <v>Normal</v>
      </c>
    </row>
    <row r="21" spans="1:9" ht="28.8" x14ac:dyDescent="0.3">
      <c r="A21" s="2" t="s">
        <v>17</v>
      </c>
      <c r="B21" s="2" t="s">
        <v>6</v>
      </c>
      <c r="C21" s="2" t="s">
        <v>8</v>
      </c>
      <c r="D21" s="4">
        <v>11000</v>
      </c>
      <c r="E21" s="4">
        <v>12500</v>
      </c>
      <c r="F21" s="7">
        <f t="shared" si="0"/>
        <v>1500</v>
      </c>
      <c r="G21" s="9">
        <f t="shared" si="1"/>
        <v>0.13636363636363635</v>
      </c>
      <c r="H21" s="2" t="str">
        <f t="shared" si="2"/>
        <v>Over Budget</v>
      </c>
      <c r="I21" s="2" t="str">
        <f t="shared" si="3"/>
        <v>Material Gap</v>
      </c>
    </row>
    <row r="22" spans="1:9" ht="28.8" x14ac:dyDescent="0.3">
      <c r="A22" s="2" t="s">
        <v>17</v>
      </c>
      <c r="B22" s="2" t="s">
        <v>9</v>
      </c>
      <c r="C22" s="2" t="s">
        <v>10</v>
      </c>
      <c r="D22" s="4">
        <v>28000</v>
      </c>
      <c r="E22" s="4">
        <v>31000</v>
      </c>
      <c r="F22" s="7">
        <f t="shared" si="0"/>
        <v>3000</v>
      </c>
      <c r="G22" s="9">
        <f t="shared" si="1"/>
        <v>0.10714285714285714</v>
      </c>
      <c r="H22" s="2" t="str">
        <f t="shared" si="2"/>
        <v>Over Budget</v>
      </c>
      <c r="I22" s="2" t="str">
        <f t="shared" si="3"/>
        <v>Material Gap</v>
      </c>
    </row>
    <row r="23" spans="1:9" ht="28.8" x14ac:dyDescent="0.3">
      <c r="A23" s="2" t="s">
        <v>17</v>
      </c>
      <c r="B23" s="2" t="s">
        <v>9</v>
      </c>
      <c r="C23" s="2" t="s">
        <v>11</v>
      </c>
      <c r="D23" s="4">
        <v>30000</v>
      </c>
      <c r="E23" s="4">
        <v>28000</v>
      </c>
      <c r="F23" s="7">
        <f t="shared" si="0"/>
        <v>-2000</v>
      </c>
      <c r="G23" s="9">
        <f t="shared" si="1"/>
        <v>-6.6666666666666666E-2</v>
      </c>
      <c r="H23" s="2" t="str">
        <f t="shared" si="2"/>
        <v>Under Budget</v>
      </c>
      <c r="I23" s="2" t="str">
        <f t="shared" si="3"/>
        <v>Normal</v>
      </c>
    </row>
    <row r="24" spans="1:9" ht="28.8" x14ac:dyDescent="0.3">
      <c r="A24" s="2" t="s">
        <v>17</v>
      </c>
      <c r="B24" s="2" t="s">
        <v>12</v>
      </c>
      <c r="C24" s="2" t="s">
        <v>13</v>
      </c>
      <c r="D24" s="4">
        <v>46000</v>
      </c>
      <c r="E24" s="4">
        <v>44000</v>
      </c>
      <c r="F24" s="7">
        <f t="shared" si="0"/>
        <v>-2000</v>
      </c>
      <c r="G24" s="9">
        <f t="shared" si="1"/>
        <v>-4.3478260869565216E-2</v>
      </c>
      <c r="H24" s="2" t="str">
        <f t="shared" si="2"/>
        <v>Under Budget</v>
      </c>
      <c r="I24" s="2" t="str">
        <f t="shared" si="3"/>
        <v>Normal</v>
      </c>
    </row>
    <row r="25" spans="1:9" ht="28.8" x14ac:dyDescent="0.3">
      <c r="A25" s="2" t="s">
        <v>17</v>
      </c>
      <c r="B25" s="2" t="s">
        <v>12</v>
      </c>
      <c r="C25" s="2" t="s">
        <v>14</v>
      </c>
      <c r="D25" s="4">
        <v>22000</v>
      </c>
      <c r="E25" s="4">
        <v>25000</v>
      </c>
      <c r="F25" s="7">
        <f t="shared" si="0"/>
        <v>3000</v>
      </c>
      <c r="G25" s="9">
        <f t="shared" si="1"/>
        <v>0.13636363636363635</v>
      </c>
      <c r="H25" s="2" t="str">
        <f t="shared" si="2"/>
        <v>Over Budget</v>
      </c>
      <c r="I25" s="2" t="str">
        <f t="shared" si="3"/>
        <v>Material Gap</v>
      </c>
    </row>
  </sheetData>
  <conditionalFormatting sqref="H1:H1048576">
    <cfRule type="containsText" dxfId="2" priority="2" operator="containsText" text="Under Budget">
      <formula>NOT(ISERROR(SEARCH("Under Budget",H1)))</formula>
    </cfRule>
    <cfRule type="containsText" dxfId="1" priority="3" operator="containsText" text="Over Budget">
      <formula>NOT(ISERROR(SEARCH("Over Budget",H1)))</formula>
    </cfRule>
  </conditionalFormatting>
  <conditionalFormatting sqref="I1:I1048576">
    <cfRule type="containsText" dxfId="0" priority="1" operator="containsText" text="Material Gap">
      <formula>NOT(ISERROR(SEARCH("Material Gap",I1)))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234C-36E8-4542-9461-995FF5FD684C}">
  <dimension ref="A1:AP16"/>
  <sheetViews>
    <sheetView tabSelected="1" workbookViewId="0">
      <selection activeCell="G19" sqref="G19"/>
    </sheetView>
  </sheetViews>
  <sheetFormatPr defaultRowHeight="14.4" x14ac:dyDescent="0.3"/>
  <cols>
    <col min="1" max="1" width="26.77734375" customWidth="1"/>
    <col min="2" max="2" width="13.21875" bestFit="1" customWidth="1"/>
    <col min="3" max="3" width="14.44140625" bestFit="1" customWidth="1"/>
    <col min="4" max="4" width="12.33203125" bestFit="1" customWidth="1"/>
    <col min="5" max="5" width="12.77734375" bestFit="1" customWidth="1"/>
    <col min="6" max="6" width="14.44140625" bestFit="1" customWidth="1"/>
    <col min="7" max="8" width="12.33203125" bestFit="1" customWidth="1"/>
  </cols>
  <sheetData>
    <row r="1" spans="1:42" ht="21" x14ac:dyDescent="0.4">
      <c r="A1" s="12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x14ac:dyDescent="0.3">
      <c r="A2" s="19" t="s">
        <v>33</v>
      </c>
      <c r="B2" s="19" t="s">
        <v>34</v>
      </c>
    </row>
    <row r="3" spans="1:42" ht="15.6" x14ac:dyDescent="0.3">
      <c r="A3" s="13" t="s">
        <v>23</v>
      </c>
      <c r="B3" s="15">
        <f>SUM(expense_data!D:D)</f>
        <v>722000</v>
      </c>
    </row>
    <row r="4" spans="1:42" ht="15.6" x14ac:dyDescent="0.3">
      <c r="A4" s="14" t="s">
        <v>24</v>
      </c>
      <c r="B4" s="15">
        <f>SUM(expense_data!E:E)</f>
        <v>742000</v>
      </c>
    </row>
    <row r="5" spans="1:42" ht="18.600000000000001" customHeight="1" x14ac:dyDescent="0.3">
      <c r="A5" s="14" t="s">
        <v>25</v>
      </c>
      <c r="B5" s="15">
        <f>SUM(expense_data!F:F)</f>
        <v>20000</v>
      </c>
    </row>
    <row r="6" spans="1:42" ht="19.2" customHeight="1" x14ac:dyDescent="0.3">
      <c r="A6" s="14" t="s">
        <v>26</v>
      </c>
      <c r="B6" s="16">
        <f>AVERAGE(expense_data!G2:G25)</f>
        <v>2.3794101093244854E-2</v>
      </c>
    </row>
    <row r="7" spans="1:42" x14ac:dyDescent="0.3">
      <c r="A7" s="2"/>
      <c r="B7" s="2"/>
    </row>
    <row r="9" spans="1:42" ht="21" x14ac:dyDescent="0.4">
      <c r="A9" s="12" t="s">
        <v>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2" spans="1:42" x14ac:dyDescent="0.3">
      <c r="A12" s="17" t="s">
        <v>27</v>
      </c>
      <c r="B12" t="s">
        <v>29</v>
      </c>
      <c r="C12" t="s">
        <v>31</v>
      </c>
      <c r="D12" t="s">
        <v>30</v>
      </c>
    </row>
    <row r="13" spans="1:42" x14ac:dyDescent="0.3">
      <c r="A13" s="18" t="s">
        <v>6</v>
      </c>
      <c r="B13" s="5">
        <v>248000</v>
      </c>
      <c r="C13" s="5">
        <v>7000</v>
      </c>
      <c r="D13" s="5">
        <v>255000</v>
      </c>
    </row>
    <row r="14" spans="1:42" x14ac:dyDescent="0.3">
      <c r="A14" s="18" t="s">
        <v>9</v>
      </c>
      <c r="B14" s="5">
        <v>226000</v>
      </c>
      <c r="C14" s="5">
        <v>10000</v>
      </c>
      <c r="D14" s="5">
        <v>236000</v>
      </c>
    </row>
    <row r="15" spans="1:42" x14ac:dyDescent="0.3">
      <c r="A15" s="18" t="s">
        <v>12</v>
      </c>
      <c r="B15" s="5">
        <v>248000</v>
      </c>
      <c r="C15" s="5">
        <v>3000</v>
      </c>
      <c r="D15" s="5">
        <v>251000</v>
      </c>
    </row>
    <row r="16" spans="1:42" x14ac:dyDescent="0.3">
      <c r="A16" s="18" t="s">
        <v>28</v>
      </c>
      <c r="B16" s="5">
        <v>722000</v>
      </c>
      <c r="C16" s="5">
        <v>20000</v>
      </c>
      <c r="D16" s="5">
        <v>742000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 Nair</dc:creator>
  <cp:lastModifiedBy>Vrinda S Nair</cp:lastModifiedBy>
  <dcterms:created xsi:type="dcterms:W3CDTF">2026-10-01T14:27:16Z</dcterms:created>
  <dcterms:modified xsi:type="dcterms:W3CDTF">2026-10-01T18:32:57Z</dcterms:modified>
</cp:coreProperties>
</file>